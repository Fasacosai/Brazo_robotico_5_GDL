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ro\Documents\sexto semestre\adan\Brazo_robotico_5_GDL\"/>
    </mc:Choice>
  </mc:AlternateContent>
  <xr:revisionPtr revIDLastSave="0" documentId="13_ncr:1_{E257859C-D049-4D87-B013-1FD5AECEF310}" xr6:coauthVersionLast="47" xr6:coauthVersionMax="47" xr10:uidLastSave="{00000000-0000-0000-0000-000000000000}"/>
  <bookViews>
    <workbookView xWindow="-96" yWindow="0" windowWidth="11712" windowHeight="12336" xr2:uid="{A7C9F500-7F4E-41A4-A3C0-3FE028AF99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" i="1" l="1"/>
  <c r="Z5" i="1"/>
  <c r="Z7" i="1" s="1"/>
  <c r="Z9" i="1" s="1"/>
  <c r="V15" i="1"/>
  <c r="V12" i="1"/>
  <c r="V13" i="1" s="1"/>
  <c r="V14" i="1" s="1"/>
  <c r="V3" i="1"/>
  <c r="V4" i="1" s="1"/>
  <c r="R15" i="1"/>
  <c r="R12" i="1"/>
  <c r="R13" i="1" s="1"/>
  <c r="R14" i="1" s="1"/>
  <c r="R3" i="1"/>
  <c r="R4" i="1" s="1"/>
  <c r="N3" i="1"/>
  <c r="N4" i="1" s="1"/>
  <c r="J8" i="1"/>
  <c r="B16" i="1"/>
  <c r="F9" i="1" s="1"/>
  <c r="F4" i="1"/>
  <c r="F3" i="1"/>
  <c r="F5" i="1" s="1"/>
  <c r="F13" i="1" l="1"/>
  <c r="J3" i="1"/>
  <c r="F7" i="1"/>
  <c r="F8" i="1" s="1"/>
  <c r="F6" i="1"/>
  <c r="F10" i="1"/>
  <c r="F15" i="1" l="1"/>
  <c r="F16" i="1" s="1"/>
  <c r="F14" i="1"/>
  <c r="F11" i="1"/>
  <c r="F12" i="1" s="1"/>
  <c r="F17" i="1" s="1"/>
  <c r="J7" i="1"/>
  <c r="J5" i="1"/>
  <c r="J6" i="1" s="1"/>
  <c r="J13" i="1" s="1"/>
  <c r="J4" i="1"/>
  <c r="J9" i="1" l="1"/>
  <c r="N5" i="1"/>
  <c r="N6" i="1" l="1"/>
  <c r="N8" i="1" s="1"/>
  <c r="N9" i="1" s="1"/>
  <c r="N10" i="1" s="1"/>
  <c r="R5" i="1"/>
  <c r="N7" i="1"/>
  <c r="J11" i="1"/>
  <c r="J12" i="1" s="1"/>
  <c r="J10" i="1"/>
  <c r="R6" i="1" l="1"/>
  <c r="V5" i="1"/>
  <c r="V6" i="1" s="1"/>
  <c r="R8" i="1"/>
  <c r="R9" i="1" s="1"/>
  <c r="R10" i="1" s="1"/>
  <c r="R7" i="1"/>
  <c r="V7" i="1" l="1"/>
  <c r="V8" i="1"/>
  <c r="V9" i="1" s="1"/>
  <c r="V10" i="1" s="1"/>
</calcChain>
</file>

<file path=xl/sharedStrings.xml><?xml version="1.0" encoding="utf-8"?>
<sst xmlns="http://schemas.openxmlformats.org/spreadsheetml/2006/main" count="198" uniqueCount="84">
  <si>
    <t>m</t>
  </si>
  <si>
    <t>ejes</t>
  </si>
  <si>
    <t>kg</t>
  </si>
  <si>
    <t>N</t>
  </si>
  <si>
    <t>dientes</t>
  </si>
  <si>
    <t>Parámetro</t>
  </si>
  <si>
    <t>Valor</t>
  </si>
  <si>
    <t>Unidades</t>
  </si>
  <si>
    <t>Tamaño del brazo completo</t>
  </si>
  <si>
    <t>Tamaño del hombro (L2)</t>
  </si>
  <si>
    <t>Tamaño del codo (L3)</t>
  </si>
  <si>
    <t>Tamaño de la garra (L5)</t>
  </si>
  <si>
    <t>Ejes del brazo</t>
  </si>
  <si>
    <t>Factor de seguridad</t>
  </si>
  <si>
    <t>—</t>
  </si>
  <si>
    <t>Torque servomotor DS3218</t>
  </si>
  <si>
    <t>Peso del servomotor</t>
  </si>
  <si>
    <t>Peso del soporte (estimación)</t>
  </si>
  <si>
    <t>Peso de tornillos y rodamientos</t>
  </si>
  <si>
    <t>Masa a cargar (máxima)</t>
  </si>
  <si>
    <t>Gravedad</t>
  </si>
  <si>
    <t>m/s²</t>
  </si>
  <si>
    <t>Factor de conversión N·m → kg·cm</t>
  </si>
  <si>
    <t>Peso del material de la garra (estimado)</t>
  </si>
  <si>
    <t>Peso del material del brazo (estimado)</t>
  </si>
  <si>
    <t>Factor dinámico</t>
  </si>
  <si>
    <t>L5- Garra</t>
  </si>
  <si>
    <t>Fuerza (F = m·g)</t>
  </si>
  <si>
    <t>Longitud efectiva de la garra</t>
  </si>
  <si>
    <t>Torque</t>
  </si>
  <si>
    <t>Torque real (× FS = 2)</t>
  </si>
  <si>
    <t>Peso total de la garra</t>
  </si>
  <si>
    <t>Torque requerido con peso estimado</t>
  </si>
  <si>
    <t>Torque real estimado</t>
  </si>
  <si>
    <t>Momento máximo</t>
  </si>
  <si>
    <t>Momento máximo con FS</t>
  </si>
  <si>
    <t>L4-Garra</t>
  </si>
  <si>
    <t>Torque real (× FS)</t>
  </si>
  <si>
    <t>Masa que gira</t>
  </si>
  <si>
    <t>Radio estimado</t>
  </si>
  <si>
    <t>Torque dinámico estimado</t>
  </si>
  <si>
    <t>Torque dinámico con FS</t>
  </si>
  <si>
    <t>L3-Codo</t>
  </si>
  <si>
    <t>Longitud (L3)</t>
  </si>
  <si>
    <t>Centro de masa aproximado</t>
  </si>
  <si>
    <t>Peso del antebrazo</t>
  </si>
  <si>
    <t>Torque necesario</t>
  </si>
  <si>
    <t>¿Requiere reductor?</t>
  </si>
  <si>
    <t>kg·cm</t>
  </si>
  <si>
    <t>L2-Hombro</t>
  </si>
  <si>
    <t>Longitud (L2)</t>
  </si>
  <si>
    <t>Peso del brazo</t>
  </si>
  <si>
    <t>Torque de salida con reductor</t>
  </si>
  <si>
    <t>L1-Base</t>
  </si>
  <si>
    <t>Longitud total del brazo</t>
  </si>
  <si>
    <t>Centro de masa</t>
  </si>
  <si>
    <t>Peso del brazo completo</t>
  </si>
  <si>
    <t>Torque requerido</t>
  </si>
  <si>
    <t>Relacion necesaria</t>
  </si>
  <si>
    <t>dientes de servomotor</t>
  </si>
  <si>
    <t>Dientes anillo</t>
  </si>
  <si>
    <t>Dientes planeta</t>
  </si>
  <si>
    <t>Dientes sol</t>
  </si>
  <si>
    <t>Garra efectora final</t>
  </si>
  <si>
    <t>torque servomotor DS3218</t>
  </si>
  <si>
    <t>N * m</t>
  </si>
  <si>
    <t>N·m</t>
  </si>
  <si>
    <t>V</t>
  </si>
  <si>
    <t>A</t>
  </si>
  <si>
    <t>factor de simultaneidad (fs​)</t>
  </si>
  <si>
    <t>Corriente maxima por servos (Iservo)</t>
  </si>
  <si>
    <t>Numero de servos (Nservos)</t>
  </si>
  <si>
    <t>Corriente total (Itotal)</t>
  </si>
  <si>
    <t>Voltaje de operación</t>
  </si>
  <si>
    <t>W</t>
  </si>
  <si>
    <t>Potencia electrica servos (Pservos)</t>
  </si>
  <si>
    <t>Margen adicional</t>
  </si>
  <si>
    <t>%</t>
  </si>
  <si>
    <t>Potencia total</t>
  </si>
  <si>
    <t>potencia total redondeado con margen de seguridad</t>
  </si>
  <si>
    <t>Corriente</t>
  </si>
  <si>
    <t xml:space="preserve">Corriente minima para la fuente </t>
  </si>
  <si>
    <t>Voltaje maximo de fuente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</si>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</sst>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DADA-DFD7-4CA8-9CAA-8AD2BDCE62FF}">
  <dimension ref="A1:AA19"/>
  <sheetViews>
    <sheetView tabSelected="1" topLeftCell="X1" workbookViewId="0">
      <selection activeCell="Y1" sqref="Y1:AA13"/>
    </sheetView>
  </sheetViews>
  <sheetFormatPr baseColWidth="10" defaultRowHeight="14.4" x14ac:dyDescent="0.3"/>
  <cols>
    <col min="1" max="1" width="37.5546875" customWidth="1"/>
    <col min="5" max="5" width="27.109375" customWidth="1"/>
    <col min="6" max="6" width="18.77734375" customWidth="1"/>
    <col min="7" max="7" width="13.44140625" customWidth="1"/>
    <col min="9" max="9" width="23.44140625" customWidth="1"/>
    <col min="10" max="10" width="16.33203125" customWidth="1"/>
    <col min="13" max="13" width="21.88671875" customWidth="1"/>
    <col min="14" max="14" width="18.88671875" customWidth="1"/>
    <col min="17" max="17" width="27.6640625" customWidth="1"/>
    <col min="18" max="18" width="14.5546875" customWidth="1"/>
    <col min="21" max="21" width="26.6640625" customWidth="1"/>
    <col min="22" max="22" width="19.5546875" customWidth="1"/>
    <col min="25" max="25" width="44.33203125" customWidth="1"/>
    <col min="26" max="26" width="18.33203125" customWidth="1"/>
  </cols>
  <sheetData>
    <row r="1" spans="1:27" ht="15" thickBot="1" x14ac:dyDescent="0.35">
      <c r="A1" s="1" t="s">
        <v>5</v>
      </c>
      <c r="B1" s="2" t="s">
        <v>6</v>
      </c>
      <c r="C1" s="2" t="s">
        <v>7</v>
      </c>
      <c r="E1" s="6" t="s">
        <v>26</v>
      </c>
      <c r="F1" s="6"/>
      <c r="G1" s="6"/>
      <c r="I1" s="6" t="s">
        <v>36</v>
      </c>
      <c r="J1" s="6"/>
      <c r="K1" s="6"/>
      <c r="M1" s="6" t="s">
        <v>42</v>
      </c>
      <c r="N1" s="6"/>
      <c r="O1" s="6"/>
      <c r="Q1" s="6" t="s">
        <v>49</v>
      </c>
      <c r="R1" s="6"/>
      <c r="S1" s="6"/>
      <c r="U1" s="6" t="s">
        <v>53</v>
      </c>
      <c r="V1" s="6"/>
      <c r="W1" s="6"/>
      <c r="Y1" s="2" t="s">
        <v>5</v>
      </c>
      <c r="Z1" s="2" t="s">
        <v>6</v>
      </c>
      <c r="AA1" s="2" t="s">
        <v>83</v>
      </c>
    </row>
    <row r="2" spans="1:27" ht="15" thickBot="1" x14ac:dyDescent="0.35">
      <c r="A2" s="3" t="s">
        <v>8</v>
      </c>
      <c r="B2" s="4">
        <v>0.4</v>
      </c>
      <c r="C2" s="4" t="s">
        <v>0</v>
      </c>
      <c r="E2" s="1" t="s">
        <v>5</v>
      </c>
      <c r="F2" s="2" t="s">
        <v>6</v>
      </c>
      <c r="G2" s="2" t="s">
        <v>7</v>
      </c>
      <c r="I2" s="1" t="s">
        <v>5</v>
      </c>
      <c r="J2" s="2" t="s">
        <v>6</v>
      </c>
      <c r="K2" s="2" t="s">
        <v>7</v>
      </c>
      <c r="M2" s="1" t="s">
        <v>5</v>
      </c>
      <c r="N2" s="2" t="s">
        <v>6</v>
      </c>
      <c r="O2" s="2" t="s">
        <v>7</v>
      </c>
      <c r="Q2" s="1" t="s">
        <v>5</v>
      </c>
      <c r="R2" s="2" t="s">
        <v>6</v>
      </c>
      <c r="S2" s="2" t="s">
        <v>7</v>
      </c>
      <c r="U2" s="1" t="s">
        <v>5</v>
      </c>
      <c r="V2" s="2" t="s">
        <v>6</v>
      </c>
      <c r="W2" s="2" t="s">
        <v>7</v>
      </c>
      <c r="Y2" s="4" t="s">
        <v>71</v>
      </c>
      <c r="Z2" s="4">
        <v>5</v>
      </c>
      <c r="AA2" s="4"/>
    </row>
    <row r="3" spans="1:27" ht="15" thickBot="1" x14ac:dyDescent="0.35">
      <c r="A3" s="3" t="s">
        <v>9</v>
      </c>
      <c r="B3" s="4">
        <v>0.16</v>
      </c>
      <c r="C3" s="4" t="s">
        <v>0</v>
      </c>
      <c r="E3" s="3" t="s">
        <v>27</v>
      </c>
      <c r="F3" s="5">
        <f>B13*B14</f>
        <v>4.9050000000000002</v>
      </c>
      <c r="G3" s="5" t="s">
        <v>3</v>
      </c>
      <c r="I3" s="3" t="s">
        <v>57</v>
      </c>
      <c r="J3" s="4">
        <f>F9*B14*B5</f>
        <v>0.53366400000000003</v>
      </c>
      <c r="K3" s="4" t="s">
        <v>66</v>
      </c>
      <c r="M3" s="3" t="s">
        <v>43</v>
      </c>
      <c r="N3" s="4">
        <f>B4</f>
        <v>0.16</v>
      </c>
      <c r="O3" s="4" t="s">
        <v>0</v>
      </c>
      <c r="Q3" s="3" t="s">
        <v>50</v>
      </c>
      <c r="R3" s="4">
        <f>B3</f>
        <v>0.16</v>
      </c>
      <c r="S3" s="4" t="s">
        <v>0</v>
      </c>
      <c r="U3" s="3" t="s">
        <v>54</v>
      </c>
      <c r="V3" s="4">
        <f>B2</f>
        <v>0.4</v>
      </c>
      <c r="W3" s="4" t="s">
        <v>0</v>
      </c>
      <c r="Y3" s="4" t="s">
        <v>70</v>
      </c>
      <c r="Z3" s="4">
        <v>2.5</v>
      </c>
      <c r="AA3" s="4" t="s">
        <v>68</v>
      </c>
    </row>
    <row r="4" spans="1:27" ht="27" thickBot="1" x14ac:dyDescent="0.35">
      <c r="A4" s="3" t="s">
        <v>10</v>
      </c>
      <c r="B4" s="4">
        <v>0.16</v>
      </c>
      <c r="C4" s="4" t="s">
        <v>0</v>
      </c>
      <c r="E4" s="3" t="s">
        <v>28</v>
      </c>
      <c r="F4" s="5">
        <f>B5/2</f>
        <v>0.04</v>
      </c>
      <c r="G4" s="5" t="s">
        <v>0</v>
      </c>
      <c r="I4" s="3" t="s">
        <v>57</v>
      </c>
      <c r="J4" s="4">
        <f>J3*B15</f>
        <v>5.4418785408000003</v>
      </c>
      <c r="K4" s="4" t="s">
        <v>48</v>
      </c>
      <c r="M4" s="3" t="s">
        <v>44</v>
      </c>
      <c r="N4" s="4">
        <f>N3/2</f>
        <v>0.08</v>
      </c>
      <c r="O4" s="4" t="s">
        <v>0</v>
      </c>
      <c r="Q4" s="3" t="s">
        <v>44</v>
      </c>
      <c r="R4" s="4">
        <f>R3/2</f>
        <v>0.08</v>
      </c>
      <c r="S4" s="4" t="s">
        <v>0</v>
      </c>
      <c r="U4" s="3" t="s">
        <v>55</v>
      </c>
      <c r="V4" s="4">
        <f>V3/2</f>
        <v>0.2</v>
      </c>
      <c r="W4" s="4" t="s">
        <v>0</v>
      </c>
      <c r="Y4" s="4" t="s">
        <v>69</v>
      </c>
      <c r="Z4" s="4">
        <v>0.8</v>
      </c>
      <c r="AA4" s="4"/>
    </row>
    <row r="5" spans="1:27" ht="15" thickBot="1" x14ac:dyDescent="0.35">
      <c r="A5" s="3" t="s">
        <v>11</v>
      </c>
      <c r="B5" s="4">
        <v>0.08</v>
      </c>
      <c r="C5" s="4" t="s">
        <v>0</v>
      </c>
      <c r="E5" s="3" t="s">
        <v>29</v>
      </c>
      <c r="F5" s="5">
        <f>B5*F3</f>
        <v>0.39240000000000003</v>
      </c>
      <c r="G5" s="5" t="s">
        <v>66</v>
      </c>
      <c r="I5" s="3" t="s">
        <v>37</v>
      </c>
      <c r="J5" s="4">
        <f>J3*B7</f>
        <v>1.0673280000000001</v>
      </c>
      <c r="K5" s="4" t="s">
        <v>66</v>
      </c>
      <c r="M5" s="3" t="s">
        <v>45</v>
      </c>
      <c r="N5" s="4">
        <f>J7+B10+B11+B12</f>
        <v>1.04</v>
      </c>
      <c r="O5" s="4" t="s">
        <v>2</v>
      </c>
      <c r="Q5" s="3" t="s">
        <v>51</v>
      </c>
      <c r="R5" s="4">
        <f>N5+B17</f>
        <v>1.34</v>
      </c>
      <c r="S5" s="4" t="s">
        <v>2</v>
      </c>
      <c r="U5" s="3" t="s">
        <v>56</v>
      </c>
      <c r="V5" s="4">
        <f>R5+B17</f>
        <v>1.6400000000000001</v>
      </c>
      <c r="W5" s="4" t="s">
        <v>2</v>
      </c>
      <c r="Y5" s="4" t="s">
        <v>72</v>
      </c>
      <c r="Z5" s="4">
        <f>Z2*Z3*Z4</f>
        <v>10</v>
      </c>
      <c r="AA5" s="4" t="s">
        <v>68</v>
      </c>
    </row>
    <row r="6" spans="1:27" ht="15" thickBot="1" x14ac:dyDescent="0.35">
      <c r="A6" s="3" t="s">
        <v>12</v>
      </c>
      <c r="B6" s="4">
        <v>5</v>
      </c>
      <c r="C6" s="4" t="s">
        <v>1</v>
      </c>
      <c r="E6" s="3" t="s">
        <v>29</v>
      </c>
      <c r="F6" s="5">
        <f>F5*B15</f>
        <v>4.0013812800000004</v>
      </c>
      <c r="G6" s="5" t="s">
        <v>48</v>
      </c>
      <c r="I6" s="3" t="s">
        <v>37</v>
      </c>
      <c r="J6" s="4">
        <f>J5*B15</f>
        <v>10.883757081600001</v>
      </c>
      <c r="K6" s="4" t="s">
        <v>48</v>
      </c>
      <c r="M6" s="3" t="s">
        <v>46</v>
      </c>
      <c r="N6" s="4">
        <f>N5*B14*N4</f>
        <v>0.81619200000000003</v>
      </c>
      <c r="O6" s="4" t="s">
        <v>66</v>
      </c>
      <c r="Q6" s="3" t="s">
        <v>46</v>
      </c>
      <c r="R6" s="4">
        <f>R5*B14*R4</f>
        <v>1.0516320000000001</v>
      </c>
      <c r="S6" s="4" t="s">
        <v>66</v>
      </c>
      <c r="U6" s="3" t="s">
        <v>46</v>
      </c>
      <c r="V6" s="4">
        <f>V5*B14*V4</f>
        <v>3.217680000000001</v>
      </c>
      <c r="W6" s="4" t="s">
        <v>66</v>
      </c>
      <c r="Y6" s="4" t="s">
        <v>73</v>
      </c>
      <c r="Z6" s="4">
        <v>7.4</v>
      </c>
      <c r="AA6" s="4" t="s">
        <v>67</v>
      </c>
    </row>
    <row r="7" spans="1:27" ht="15.6" customHeight="1" thickBot="1" x14ac:dyDescent="0.35">
      <c r="A7" s="3" t="s">
        <v>13</v>
      </c>
      <c r="B7" s="4">
        <v>2</v>
      </c>
      <c r="C7" s="4" t="s">
        <v>14</v>
      </c>
      <c r="E7" s="3" t="s">
        <v>30</v>
      </c>
      <c r="F7" s="5">
        <f>F5*B7</f>
        <v>0.78480000000000005</v>
      </c>
      <c r="G7" s="5" t="s">
        <v>66</v>
      </c>
      <c r="I7" s="3" t="s">
        <v>38</v>
      </c>
      <c r="J7" s="4">
        <f>F10</f>
        <v>0.86</v>
      </c>
      <c r="K7" s="4" t="s">
        <v>2</v>
      </c>
      <c r="M7" s="3" t="s">
        <v>46</v>
      </c>
      <c r="N7" s="4">
        <f>N6*B15</f>
        <v>8.3228730624000011</v>
      </c>
      <c r="O7" s="4" t="s">
        <v>48</v>
      </c>
      <c r="Q7" s="3" t="s">
        <v>46</v>
      </c>
      <c r="R7" s="4">
        <f>R6*B15</f>
        <v>10.723701830400001</v>
      </c>
      <c r="S7" s="4" t="s">
        <v>48</v>
      </c>
      <c r="U7" s="3" t="s">
        <v>46</v>
      </c>
      <c r="V7" s="4">
        <f>V6*B15</f>
        <v>32.811326496000014</v>
      </c>
      <c r="W7" s="4" t="s">
        <v>48</v>
      </c>
      <c r="Y7" s="4" t="s">
        <v>75</v>
      </c>
      <c r="Z7" s="4">
        <f>Z6*Z5</f>
        <v>74</v>
      </c>
      <c r="AA7" s="4" t="s">
        <v>74</v>
      </c>
    </row>
    <row r="8" spans="1:27" ht="15" thickBot="1" x14ac:dyDescent="0.35">
      <c r="A8" s="3" t="s">
        <v>64</v>
      </c>
      <c r="B8" s="4">
        <v>1.86</v>
      </c>
      <c r="C8" s="4" t="s">
        <v>65</v>
      </c>
      <c r="E8" s="3" t="s">
        <v>30</v>
      </c>
      <c r="F8" s="5">
        <f>F7*B15</f>
        <v>8.0027625600000007</v>
      </c>
      <c r="G8" s="5" t="s">
        <v>48</v>
      </c>
      <c r="I8" s="3" t="s">
        <v>39</v>
      </c>
      <c r="J8" s="4">
        <f>B5/2</f>
        <v>0.04</v>
      </c>
      <c r="K8" s="4" t="s">
        <v>0</v>
      </c>
      <c r="M8" s="3" t="s">
        <v>37</v>
      </c>
      <c r="N8" s="4">
        <f>N6*B7</f>
        <v>1.6323840000000001</v>
      </c>
      <c r="O8" s="4" t="s">
        <v>66</v>
      </c>
      <c r="Q8" s="3" t="s">
        <v>37</v>
      </c>
      <c r="R8" s="4">
        <f>R6*B7</f>
        <v>2.1032640000000002</v>
      </c>
      <c r="S8" s="4" t="s">
        <v>66</v>
      </c>
      <c r="U8" s="3" t="s">
        <v>37</v>
      </c>
      <c r="V8" s="4">
        <f>V6*B7</f>
        <v>6.435360000000002</v>
      </c>
      <c r="W8" s="4" t="s">
        <v>66</v>
      </c>
      <c r="Y8" s="4" t="s">
        <v>76</v>
      </c>
      <c r="Z8" s="4">
        <v>15</v>
      </c>
      <c r="AA8" s="4" t="s">
        <v>77</v>
      </c>
    </row>
    <row r="9" spans="1:27" ht="15" thickBot="1" x14ac:dyDescent="0.35">
      <c r="A9" s="3" t="s">
        <v>15</v>
      </c>
      <c r="B9" s="4">
        <v>19</v>
      </c>
      <c r="C9" s="4" t="s">
        <v>48</v>
      </c>
      <c r="E9" s="3" t="s">
        <v>63</v>
      </c>
      <c r="F9" s="5">
        <f>B16+B13</f>
        <v>0.67999999999999994</v>
      </c>
      <c r="G9" s="5"/>
      <c r="I9" s="3" t="s">
        <v>40</v>
      </c>
      <c r="J9" s="4">
        <f>J7*J8*B14*B18</f>
        <v>6.7492800000000006E-2</v>
      </c>
      <c r="K9" s="4" t="s">
        <v>66</v>
      </c>
      <c r="M9" s="3" t="s">
        <v>37</v>
      </c>
      <c r="N9" s="4">
        <f>N8*B15</f>
        <v>16.645746124800002</v>
      </c>
      <c r="O9" s="4" t="s">
        <v>48</v>
      </c>
      <c r="Q9" s="3" t="s">
        <v>37</v>
      </c>
      <c r="R9" s="4">
        <f>R8*B15</f>
        <v>21.447403660800003</v>
      </c>
      <c r="S9" s="4" t="s">
        <v>48</v>
      </c>
      <c r="U9" s="3" t="s">
        <v>37</v>
      </c>
      <c r="V9" s="4">
        <f>V8*B15</f>
        <v>65.622652992000027</v>
      </c>
      <c r="W9" s="4" t="s">
        <v>48</v>
      </c>
      <c r="Y9" s="4" t="s">
        <v>78</v>
      </c>
      <c r="Z9" s="4">
        <f>Z7*1.15</f>
        <v>85.1</v>
      </c>
      <c r="AA9" s="4" t="s">
        <v>74</v>
      </c>
    </row>
    <row r="10" spans="1:27" ht="15" thickBot="1" x14ac:dyDescent="0.35">
      <c r="A10" s="3" t="s">
        <v>16</v>
      </c>
      <c r="B10" s="4">
        <v>0.06</v>
      </c>
      <c r="C10" s="4" t="s">
        <v>2</v>
      </c>
      <c r="E10" s="3" t="s">
        <v>31</v>
      </c>
      <c r="F10" s="5">
        <f>F9+B10+B11+B12</f>
        <v>0.86</v>
      </c>
      <c r="G10" s="5" t="s">
        <v>2</v>
      </c>
      <c r="I10" s="3" t="s">
        <v>40</v>
      </c>
      <c r="J10" s="4">
        <f>J9*B15</f>
        <v>0.68823758016000014</v>
      </c>
      <c r="K10" s="4" t="s">
        <v>48</v>
      </c>
      <c r="M10" s="3" t="s">
        <v>47</v>
      </c>
      <c r="N10" s="4" t="b">
        <f>B9&lt;N9</f>
        <v>0</v>
      </c>
      <c r="O10" s="4" t="s">
        <v>14</v>
      </c>
      <c r="Q10" s="3" t="s">
        <v>47</v>
      </c>
      <c r="R10" s="4" t="b">
        <f>B9&lt;R9</f>
        <v>1</v>
      </c>
      <c r="S10" s="4" t="s">
        <v>14</v>
      </c>
      <c r="U10" s="3" t="s">
        <v>47</v>
      </c>
      <c r="V10" s="4" t="b">
        <f>B9&lt;V9</f>
        <v>1</v>
      </c>
      <c r="W10" s="4" t="s">
        <v>14</v>
      </c>
      <c r="Y10" s="4" t="s">
        <v>79</v>
      </c>
      <c r="Z10" s="4">
        <v>100</v>
      </c>
      <c r="AA10" s="4" t="s">
        <v>74</v>
      </c>
    </row>
    <row r="11" spans="1:27" ht="27" thickBot="1" x14ac:dyDescent="0.35">
      <c r="A11" s="3" t="s">
        <v>17</v>
      </c>
      <c r="B11" s="4">
        <v>0.1</v>
      </c>
      <c r="C11" s="4" t="s">
        <v>2</v>
      </c>
      <c r="E11" s="3" t="s">
        <v>32</v>
      </c>
      <c r="F11" s="5">
        <f>F10*B14*F4</f>
        <v>0.33746400000000004</v>
      </c>
      <c r="G11" s="5" t="s">
        <v>48</v>
      </c>
      <c r="I11" s="3" t="s">
        <v>41</v>
      </c>
      <c r="J11" s="4">
        <f>J9*B7</f>
        <v>0.13498560000000001</v>
      </c>
      <c r="K11" s="4" t="s">
        <v>66</v>
      </c>
      <c r="Q11" s="3" t="s">
        <v>58</v>
      </c>
      <c r="R11" s="4">
        <v>4</v>
      </c>
      <c r="S11" s="4" t="s">
        <v>66</v>
      </c>
      <c r="U11" s="3" t="s">
        <v>58</v>
      </c>
      <c r="V11" s="4">
        <v>4</v>
      </c>
      <c r="W11" s="4"/>
      <c r="Y11" s="4" t="s">
        <v>80</v>
      </c>
      <c r="Z11" s="4">
        <f>Z10/Z6</f>
        <v>13.513513513513512</v>
      </c>
      <c r="AA11" s="4" t="s">
        <v>68</v>
      </c>
    </row>
    <row r="12" spans="1:27" ht="15" thickBot="1" x14ac:dyDescent="0.35">
      <c r="A12" s="3" t="s">
        <v>18</v>
      </c>
      <c r="B12" s="4">
        <v>0.02</v>
      </c>
      <c r="C12" s="4" t="s">
        <v>2</v>
      </c>
      <c r="E12" s="3" t="s">
        <v>33</v>
      </c>
      <c r="F12" s="5">
        <f>F11*B15</f>
        <v>3.4411879008000006</v>
      </c>
      <c r="G12" s="5" t="s">
        <v>48</v>
      </c>
      <c r="I12" s="3" t="s">
        <v>41</v>
      </c>
      <c r="J12" s="4">
        <f>J11*B15</f>
        <v>1.3764751603200003</v>
      </c>
      <c r="K12" s="4" t="s">
        <v>48</v>
      </c>
      <c r="Q12" s="3" t="s">
        <v>62</v>
      </c>
      <c r="R12" s="4">
        <f>B19</f>
        <v>36</v>
      </c>
      <c r="S12" s="4" t="s">
        <v>4</v>
      </c>
      <c r="U12" s="3" t="s">
        <v>62</v>
      </c>
      <c r="V12" s="4">
        <f>B19</f>
        <v>36</v>
      </c>
      <c r="W12" s="4" t="s">
        <v>4</v>
      </c>
      <c r="Y12" s="4" t="s">
        <v>81</v>
      </c>
      <c r="Z12" s="4">
        <v>13.5</v>
      </c>
      <c r="AA12" s="4" t="s">
        <v>68</v>
      </c>
    </row>
    <row r="13" spans="1:27" ht="15" thickBot="1" x14ac:dyDescent="0.35">
      <c r="A13" s="3" t="s">
        <v>19</v>
      </c>
      <c r="B13" s="4">
        <v>0.5</v>
      </c>
      <c r="C13" s="4" t="s">
        <v>2</v>
      </c>
      <c r="E13" s="3" t="s">
        <v>34</v>
      </c>
      <c r="F13" s="5">
        <f>(B13*B14*B5)+((F9*B14*F4))</f>
        <v>0.65923200000000004</v>
      </c>
      <c r="G13" s="5" t="s">
        <v>66</v>
      </c>
      <c r="I13" s="3" t="s">
        <v>47</v>
      </c>
      <c r="J13" s="4" t="b">
        <f>B9&lt;J6</f>
        <v>0</v>
      </c>
      <c r="K13" s="4" t="s">
        <v>14</v>
      </c>
      <c r="Q13" s="3" t="s">
        <v>60</v>
      </c>
      <c r="R13" s="4">
        <f>(R11-1)*R12</f>
        <v>108</v>
      </c>
      <c r="S13" s="4"/>
      <c r="U13" s="3" t="s">
        <v>60</v>
      </c>
      <c r="V13" s="4">
        <f>(V11-1)*V12</f>
        <v>108</v>
      </c>
      <c r="W13" s="4"/>
      <c r="Y13" s="4" t="s">
        <v>82</v>
      </c>
      <c r="Z13" s="4">
        <v>7.4</v>
      </c>
      <c r="AA13" s="4" t="s">
        <v>67</v>
      </c>
    </row>
    <row r="14" spans="1:27" ht="15" thickBot="1" x14ac:dyDescent="0.35">
      <c r="A14" s="3" t="s">
        <v>20</v>
      </c>
      <c r="B14" s="4">
        <v>9.81</v>
      </c>
      <c r="C14" s="4" t="s">
        <v>21</v>
      </c>
      <c r="E14" s="3" t="s">
        <v>34</v>
      </c>
      <c r="F14">
        <f>F13*B15</f>
        <v>6.722320550400001</v>
      </c>
      <c r="G14" s="5" t="s">
        <v>48</v>
      </c>
      <c r="Q14" s="3" t="s">
        <v>61</v>
      </c>
      <c r="R14" s="4">
        <f>(R13-R12)/2</f>
        <v>36</v>
      </c>
      <c r="S14" s="4"/>
      <c r="U14" s="3" t="s">
        <v>61</v>
      </c>
      <c r="V14" s="4">
        <f>(V13-V12)/2</f>
        <v>36</v>
      </c>
      <c r="W14" s="4"/>
    </row>
    <row r="15" spans="1:27" ht="15" thickBot="1" x14ac:dyDescent="0.35">
      <c r="A15" s="3" t="s">
        <v>22</v>
      </c>
      <c r="B15" s="4">
        <v>10.1972</v>
      </c>
      <c r="C15" s="4" t="s">
        <v>14</v>
      </c>
      <c r="E15" s="3" t="s">
        <v>35</v>
      </c>
      <c r="F15" s="5">
        <f>F13*B7</f>
        <v>1.3184640000000001</v>
      </c>
      <c r="G15" s="5" t="s">
        <v>66</v>
      </c>
      <c r="Q15" s="3" t="s">
        <v>52</v>
      </c>
      <c r="R15" s="4">
        <f>B9*R11</f>
        <v>76</v>
      </c>
      <c r="S15" s="4" t="s">
        <v>48</v>
      </c>
      <c r="U15" s="3" t="s">
        <v>52</v>
      </c>
      <c r="V15" s="4">
        <f>B9*V11</f>
        <v>76</v>
      </c>
      <c r="W15" s="4" t="s">
        <v>48</v>
      </c>
    </row>
    <row r="16" spans="1:27" ht="15" thickBot="1" x14ac:dyDescent="0.35">
      <c r="A16" s="3" t="s">
        <v>23</v>
      </c>
      <c r="B16" s="4">
        <f>B10+B11+B12</f>
        <v>0.18</v>
      </c>
      <c r="C16" s="4" t="s">
        <v>2</v>
      </c>
      <c r="E16" s="3" t="s">
        <v>35</v>
      </c>
      <c r="F16" s="5">
        <f>F15*B15</f>
        <v>13.444641100800002</v>
      </c>
      <c r="G16" s="5" t="s">
        <v>48</v>
      </c>
    </row>
    <row r="17" spans="1:7" ht="15" thickBot="1" x14ac:dyDescent="0.35">
      <c r="A17" s="3" t="s">
        <v>24</v>
      </c>
      <c r="B17" s="4">
        <v>0.3</v>
      </c>
      <c r="C17" s="4" t="s">
        <v>2</v>
      </c>
      <c r="E17" s="3" t="s">
        <v>47</v>
      </c>
      <c r="F17" s="5" t="b">
        <f>B9&lt;F12</f>
        <v>0</v>
      </c>
      <c r="G17" s="5" t="s">
        <v>14</v>
      </c>
    </row>
    <row r="18" spans="1:7" ht="15" thickBot="1" x14ac:dyDescent="0.35">
      <c r="A18" s="3" t="s">
        <v>25</v>
      </c>
      <c r="B18" s="4">
        <v>0.2</v>
      </c>
      <c r="C18" s="4" t="s">
        <v>14</v>
      </c>
    </row>
    <row r="19" spans="1:7" ht="15" thickBot="1" x14ac:dyDescent="0.35">
      <c r="A19" s="3" t="s">
        <v>59</v>
      </c>
      <c r="B19" s="4">
        <v>36</v>
      </c>
      <c r="C19" s="4" t="s">
        <v>14</v>
      </c>
    </row>
  </sheetData>
  <mergeCells count="5">
    <mergeCell ref="U1:W1"/>
    <mergeCell ref="E1:G1"/>
    <mergeCell ref="I1:K1"/>
    <mergeCell ref="M1:O1"/>
    <mergeCell ref="Q1:S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6100006 - Jonathan Brown Moreno</dc:creator>
  <cp:lastModifiedBy>6100006 - Jonathan Brown Moreno</cp:lastModifiedBy>
  <dcterms:created xsi:type="dcterms:W3CDTF">2026-04-18T19:16:53Z</dcterms:created>
  <dcterms:modified xsi:type="dcterms:W3CDTF">2026-05-12T16:04:16Z</dcterms:modified>
</cp:coreProperties>
</file>